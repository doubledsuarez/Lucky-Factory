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-Games\FactoryGame Pigsquad\docs\"/>
    </mc:Choice>
  </mc:AlternateContent>
  <xr:revisionPtr revIDLastSave="0" documentId="8_{9DEA2997-6E95-4381-AA59-18A09F85A08E}" xr6:coauthVersionLast="47" xr6:coauthVersionMax="47" xr10:uidLastSave="{00000000-0000-0000-0000-000000000000}"/>
  <bookViews>
    <workbookView xWindow="51480" yWindow="-7395" windowWidth="16440" windowHeight="28320" xr2:uid="{B823E8CA-EF53-45E2-BF54-13B7F84521BD}"/>
  </bookViews>
  <sheets>
    <sheet name="Tech Tree Work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1" i="1" l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E3CC79-7032-4FC7-ACFA-BD262002A056}" keepAlive="1" name="Query - Initial DB" description="Connection to the 'Initial DB' query in the workbook." type="5" refreshedVersion="0" background="1">
    <dbPr connection="Provider=Microsoft.Mashup.OleDb.1;Data Source=$Workbook$;Location=&quot;Initial DB&quot;;Extended Properties=&quot;&quot;" command="SELECT * FROM [Initial DB]"/>
  </connection>
</connections>
</file>

<file path=xl/sharedStrings.xml><?xml version="1.0" encoding="utf-8"?>
<sst xmlns="http://schemas.openxmlformats.org/spreadsheetml/2006/main" count="126" uniqueCount="52">
  <si>
    <t>category</t>
  </si>
  <si>
    <t>id</t>
  </si>
  <si>
    <t>display_name</t>
  </si>
  <si>
    <t>tree</t>
  </si>
  <si>
    <t>parents</t>
  </si>
  <si>
    <t>starts_unlocked</t>
  </si>
  <si>
    <t>material</t>
  </si>
  <si>
    <t>scrap</t>
  </si>
  <si>
    <t>Scrap</t>
  </si>
  <si>
    <t>-</t>
  </si>
  <si>
    <t/>
  </si>
  <si>
    <t>Scrap Ingot</t>
  </si>
  <si>
    <t>output</t>
  </si>
  <si>
    <t>Robot</t>
  </si>
  <si>
    <t>tool</t>
  </si>
  <si>
    <t>Belt</t>
  </si>
  <si>
    <t>Splitter</t>
  </si>
  <si>
    <t>Merger</t>
  </si>
  <si>
    <t>machine</t>
  </si>
  <si>
    <t>Depo</t>
  </si>
  <si>
    <t>Shuttle</t>
  </si>
  <si>
    <t>forge</t>
  </si>
  <si>
    <t>Forge</t>
  </si>
  <si>
    <t>crafter</t>
  </si>
  <si>
    <t>Crafter</t>
  </si>
  <si>
    <t>assembler</t>
  </si>
  <si>
    <t>Assembler</t>
  </si>
  <si>
    <t>Bank</t>
  </si>
  <si>
    <t>part</t>
  </si>
  <si>
    <t>head_boxer</t>
  </si>
  <si>
    <t>Scrap Boxer Head</t>
  </si>
  <si>
    <t>head_warrior</t>
  </si>
  <si>
    <t>Scrap Warrior Head</t>
  </si>
  <si>
    <t>head_hunter</t>
  </si>
  <si>
    <t>Scrap Hunter Head</t>
  </si>
  <si>
    <t>Scrap Boxer Torso</t>
  </si>
  <si>
    <t>Scrap Warrior Torso</t>
  </si>
  <si>
    <t>Scrap Hunter Torso</t>
  </si>
  <si>
    <t>Scrap Boxer Legs</t>
  </si>
  <si>
    <t>Scrap Warrior Legs</t>
  </si>
  <si>
    <t>Scrap Hunter Legs</t>
  </si>
  <si>
    <t>Scrap Boxer Fists</t>
  </si>
  <si>
    <t>Scrap Warrior Spear</t>
  </si>
  <si>
    <t>Scrap Hunter Rifle</t>
  </si>
  <si>
    <t>scrap_ingot</t>
  </si>
  <si>
    <t>Main</t>
  </si>
  <si>
    <t>buff</t>
  </si>
  <si>
    <t>1000 scrap</t>
  </si>
  <si>
    <t>Extra Time</t>
  </si>
  <si>
    <t>1000_scrap</t>
  </si>
  <si>
    <t>1000_scrap_1</t>
  </si>
  <si>
    <t>1000_scrap_2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</si>
</sst>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4FAC-0C66-4946-915E-7D8625746E07}">
  <dimension ref="A1:F31"/>
  <sheetViews>
    <sheetView tabSelected="1" workbookViewId="0">
      <selection activeCell="B2" sqref="B2"/>
    </sheetView>
  </sheetViews>
  <sheetFormatPr defaultRowHeight="15" x14ac:dyDescent="0.25"/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4" t="s">
        <v>6</v>
      </c>
      <c r="B2" s="5" t="str">
        <f>SUBSTITUTE(LOWER(C2)," ","_")&amp;IF(COUNTIF(C2:C$3,C2)=1,"","_"&amp;COUNTIF(C2:C$3,C2)-1)</f>
        <v>scrap</v>
      </c>
      <c r="C2" s="5" t="s">
        <v>8</v>
      </c>
      <c r="D2" s="5" t="s">
        <v>45</v>
      </c>
      <c r="E2" s="5" t="s">
        <v>10</v>
      </c>
      <c r="F2" s="6" t="b">
        <v>1</v>
      </c>
    </row>
    <row r="3" spans="1:6" x14ac:dyDescent="0.25">
      <c r="A3" s="1" t="s">
        <v>6</v>
      </c>
      <c r="B3" s="2" t="str">
        <f>SUBSTITUTE(LOWER(C3)," ","_")&amp;IF(COUNTIF(C$3:C3,C3)=1,"","_"&amp;COUNTIF(C$3:C3,C3)-1)</f>
        <v>scrap_ingot</v>
      </c>
      <c r="C3" s="2" t="s">
        <v>11</v>
      </c>
      <c r="D3" s="2" t="s">
        <v>45</v>
      </c>
      <c r="E3" s="2" t="s">
        <v>7</v>
      </c>
      <c r="F3" s="3" t="b">
        <v>1</v>
      </c>
    </row>
    <row r="4" spans="1:6" x14ac:dyDescent="0.25">
      <c r="A4" s="4" t="s">
        <v>12</v>
      </c>
      <c r="B4" s="5" t="str">
        <f>SUBSTITUTE(LOWER(C4)," ","_")&amp;IF(COUNTIF(C$3:C4,C4)=1,"","_"&amp;COUNTIF(C$3:C4,C4)-1)</f>
        <v>robot</v>
      </c>
      <c r="C4" s="5" t="s">
        <v>13</v>
      </c>
      <c r="D4" s="5" t="s">
        <v>9</v>
      </c>
      <c r="E4" s="5" t="s">
        <v>10</v>
      </c>
      <c r="F4" s="6" t="b">
        <v>1</v>
      </c>
    </row>
    <row r="5" spans="1:6" x14ac:dyDescent="0.25">
      <c r="A5" s="1" t="s">
        <v>14</v>
      </c>
      <c r="B5" s="2" t="str">
        <f>SUBSTITUTE(LOWER(C5)," ","_")&amp;IF(COUNTIF(C$3:C5,C5)=1,"","_"&amp;COUNTIF(C$3:C5,C5)-1)</f>
        <v>belt</v>
      </c>
      <c r="C5" s="2" t="s">
        <v>15</v>
      </c>
      <c r="D5" s="2" t="s">
        <v>45</v>
      </c>
      <c r="E5" s="2" t="s">
        <v>10</v>
      </c>
      <c r="F5" s="3" t="b">
        <v>1</v>
      </c>
    </row>
    <row r="6" spans="1:6" x14ac:dyDescent="0.25">
      <c r="A6" s="4" t="s">
        <v>14</v>
      </c>
      <c r="B6" s="5" t="str">
        <f>SUBSTITUTE(LOWER(C6)," ","_")&amp;IF(COUNTIF(C$3:C6,C6)=1,"","_"&amp;COUNTIF(C$3:C6,C6)-1)</f>
        <v>splitter</v>
      </c>
      <c r="C6" s="5" t="s">
        <v>16</v>
      </c>
      <c r="D6" s="5" t="s">
        <v>45</v>
      </c>
      <c r="E6" s="5" t="s">
        <v>10</v>
      </c>
      <c r="F6" s="6" t="b">
        <v>0</v>
      </c>
    </row>
    <row r="7" spans="1:6" x14ac:dyDescent="0.25">
      <c r="A7" s="1" t="s">
        <v>14</v>
      </c>
      <c r="B7" s="2" t="str">
        <f>SUBSTITUTE(LOWER(C7)," ","_")&amp;IF(COUNTIF(C$3:C7,C7)=1,"","_"&amp;COUNTIF(C$3:C7,C7)-1)</f>
        <v>merger</v>
      </c>
      <c r="C7" s="2" t="s">
        <v>17</v>
      </c>
      <c r="D7" s="2" t="s">
        <v>45</v>
      </c>
      <c r="E7" s="2" t="s">
        <v>10</v>
      </c>
      <c r="F7" s="3" t="b">
        <v>0</v>
      </c>
    </row>
    <row r="8" spans="1:6" x14ac:dyDescent="0.25">
      <c r="A8" s="4" t="s">
        <v>18</v>
      </c>
      <c r="B8" s="5" t="str">
        <f>SUBSTITUTE(LOWER(C8)," ","_")&amp;IF(COUNTIF(C$3:C8,C8)=1,"","_"&amp;COUNTIF(C$3:C8,C8)-1)</f>
        <v>depo</v>
      </c>
      <c r="C8" s="5" t="s">
        <v>19</v>
      </c>
      <c r="D8" s="5" t="s">
        <v>9</v>
      </c>
      <c r="E8" s="5" t="s">
        <v>10</v>
      </c>
      <c r="F8" s="6" t="b">
        <v>1</v>
      </c>
    </row>
    <row r="9" spans="1:6" x14ac:dyDescent="0.25">
      <c r="A9" s="1" t="s">
        <v>18</v>
      </c>
      <c r="B9" s="2" t="str">
        <f>SUBSTITUTE(LOWER(C9)," ","_")&amp;IF(COUNTIF(C$3:C9,C9)=1,"","_"&amp;COUNTIF(C$3:C9,C9)-1)</f>
        <v>shuttle</v>
      </c>
      <c r="C9" s="2" t="s">
        <v>20</v>
      </c>
      <c r="D9" s="2" t="s">
        <v>9</v>
      </c>
      <c r="E9" s="2" t="s">
        <v>10</v>
      </c>
      <c r="F9" s="3" t="b">
        <v>1</v>
      </c>
    </row>
    <row r="10" spans="1:6" x14ac:dyDescent="0.25">
      <c r="A10" s="4" t="s">
        <v>18</v>
      </c>
      <c r="B10" s="5" t="str">
        <f>SUBSTITUTE(LOWER(C10)," ","_")&amp;IF(COUNTIF(C$3:C10,C10)=1,"","_"&amp;COUNTIF(C$3:C10,C10)-1)</f>
        <v>forge</v>
      </c>
      <c r="C10" s="5" t="s">
        <v>22</v>
      </c>
      <c r="D10" s="5" t="s">
        <v>45</v>
      </c>
      <c r="E10" s="5" t="s">
        <v>44</v>
      </c>
      <c r="F10" s="6" t="b">
        <v>1</v>
      </c>
    </row>
    <row r="11" spans="1:6" x14ac:dyDescent="0.25">
      <c r="A11" s="1" t="s">
        <v>18</v>
      </c>
      <c r="B11" s="2" t="str">
        <f>SUBSTITUTE(LOWER(C11)," ","_")&amp;IF(COUNTIF(C$3:C11,C11)=1,"","_"&amp;COUNTIF(C$3:C11,C11)-1)</f>
        <v>crafter</v>
      </c>
      <c r="C11" s="2" t="s">
        <v>24</v>
      </c>
      <c r="D11" s="2" t="s">
        <v>45</v>
      </c>
      <c r="E11" s="2" t="s">
        <v>21</v>
      </c>
      <c r="F11" s="3" t="b">
        <v>1</v>
      </c>
    </row>
    <row r="12" spans="1:6" x14ac:dyDescent="0.25">
      <c r="A12" s="4" t="s">
        <v>18</v>
      </c>
      <c r="B12" s="5" t="str">
        <f>SUBSTITUTE(LOWER(C12)," ","_")&amp;IF(COUNTIF(C$3:C12,C12)=1,"","_"&amp;COUNTIF(C$3:C12,C12)-1)</f>
        <v>assembler</v>
      </c>
      <c r="C12" s="5" t="s">
        <v>26</v>
      </c>
      <c r="D12" s="5" t="s">
        <v>45</v>
      </c>
      <c r="E12" s="5" t="s">
        <v>23</v>
      </c>
      <c r="F12" s="6" t="b">
        <v>1</v>
      </c>
    </row>
    <row r="13" spans="1:6" x14ac:dyDescent="0.25">
      <c r="A13" s="1" t="s">
        <v>18</v>
      </c>
      <c r="B13" s="2" t="str">
        <f>SUBSTITUTE(LOWER(C13)," ","_")&amp;IF(COUNTIF(C$3:C13,C13)=1,"","_"&amp;COUNTIF(C$3:C13,C13)-1)</f>
        <v>bank</v>
      </c>
      <c r="C13" s="2" t="s">
        <v>27</v>
      </c>
      <c r="D13" s="2" t="s">
        <v>45</v>
      </c>
      <c r="E13" s="2" t="s">
        <v>44</v>
      </c>
      <c r="F13" s="3" t="b">
        <v>1</v>
      </c>
    </row>
    <row r="14" spans="1:6" x14ac:dyDescent="0.25">
      <c r="A14" s="4" t="s">
        <v>28</v>
      </c>
      <c r="B14" s="5" t="str">
        <f>SUBSTITUTE(LOWER(C14)," ","_")&amp;IF(COUNTIF(C$3:C14,C14)=1,"","_"&amp;COUNTIF(C$3:C14,C14)-1)</f>
        <v>scrap_boxer_head</v>
      </c>
      <c r="C14" s="5" t="s">
        <v>30</v>
      </c>
      <c r="D14" s="5" t="s">
        <v>45</v>
      </c>
      <c r="E14" s="5" t="s">
        <v>25</v>
      </c>
      <c r="F14" s="6" t="b">
        <v>1</v>
      </c>
    </row>
    <row r="15" spans="1:6" x14ac:dyDescent="0.25">
      <c r="A15" s="1" t="s">
        <v>28</v>
      </c>
      <c r="B15" s="2" t="str">
        <f>SUBSTITUTE(LOWER(C15)," ","_")&amp;IF(COUNTIF(C$3:C15,C15)=1,"","_"&amp;COUNTIF(C$3:C15,C15)-1)</f>
        <v>scrap_warrior_head</v>
      </c>
      <c r="C15" s="2" t="s">
        <v>32</v>
      </c>
      <c r="D15" s="2" t="s">
        <v>45</v>
      </c>
      <c r="E15" s="2" t="s">
        <v>25</v>
      </c>
      <c r="F15" s="3" t="b">
        <v>0</v>
      </c>
    </row>
    <row r="16" spans="1:6" x14ac:dyDescent="0.25">
      <c r="A16" s="4" t="s">
        <v>28</v>
      </c>
      <c r="B16" s="5" t="str">
        <f>SUBSTITUTE(LOWER(C16)," ","_")&amp;IF(COUNTIF(C$3:C16,C16)=1,"","_"&amp;COUNTIF(C$3:C16,C16)-1)</f>
        <v>scrap_hunter_head</v>
      </c>
      <c r="C16" s="5" t="s">
        <v>34</v>
      </c>
      <c r="D16" s="5" t="s">
        <v>45</v>
      </c>
      <c r="E16" s="5" t="s">
        <v>25</v>
      </c>
      <c r="F16" s="6" t="b">
        <v>0</v>
      </c>
    </row>
    <row r="17" spans="1:6" x14ac:dyDescent="0.25">
      <c r="A17" s="1" t="s">
        <v>28</v>
      </c>
      <c r="B17" s="2" t="str">
        <f>SUBSTITUTE(LOWER(C17)," ","_")&amp;IF(COUNTIF(C$3:C17,C17)=1,"","_"&amp;COUNTIF(C$3:C17,C17)-1)</f>
        <v>scrap_boxer_torso</v>
      </c>
      <c r="C17" s="2" t="s">
        <v>35</v>
      </c>
      <c r="D17" s="2" t="s">
        <v>45</v>
      </c>
      <c r="E17" s="2" t="s">
        <v>29</v>
      </c>
      <c r="F17" s="3" t="b">
        <v>1</v>
      </c>
    </row>
    <row r="18" spans="1:6" x14ac:dyDescent="0.25">
      <c r="A18" s="4" t="s">
        <v>28</v>
      </c>
      <c r="B18" s="5" t="str">
        <f>SUBSTITUTE(LOWER(C18)," ","_")&amp;IF(COUNTIF(C$3:C18,C18)=1,"","_"&amp;COUNTIF(C$3:C18,C18)-1)</f>
        <v>scrap_warrior_torso</v>
      </c>
      <c r="C18" s="5" t="s">
        <v>36</v>
      </c>
      <c r="D18" s="5" t="s">
        <v>45</v>
      </c>
      <c r="E18" s="5" t="s">
        <v>31</v>
      </c>
      <c r="F18" s="6" t="b">
        <v>0</v>
      </c>
    </row>
    <row r="19" spans="1:6" x14ac:dyDescent="0.25">
      <c r="A19" s="1" t="s">
        <v>28</v>
      </c>
      <c r="B19" s="2" t="str">
        <f>SUBSTITUTE(LOWER(C19)," ","_")&amp;IF(COUNTIF(C$3:C19,C19)=1,"","_"&amp;COUNTIF(C$3:C19,C19)-1)</f>
        <v>scrap_hunter_torso</v>
      </c>
      <c r="C19" s="2" t="s">
        <v>37</v>
      </c>
      <c r="D19" s="2" t="s">
        <v>45</v>
      </c>
      <c r="E19" s="2" t="s">
        <v>33</v>
      </c>
      <c r="F19" s="3" t="b">
        <v>0</v>
      </c>
    </row>
    <row r="20" spans="1:6" x14ac:dyDescent="0.25">
      <c r="A20" s="4" t="s">
        <v>28</v>
      </c>
      <c r="B20" s="5" t="str">
        <f>SUBSTITUTE(LOWER(C20)," ","_")&amp;IF(COUNTIF(C$3:C20,C20)=1,"","_"&amp;COUNTIF(C$3:C20,C20)-1)</f>
        <v>scrap_boxer_legs</v>
      </c>
      <c r="C20" s="5" t="s">
        <v>38</v>
      </c>
      <c r="D20" s="5" t="s">
        <v>45</v>
      </c>
      <c r="E20" s="5" t="s">
        <v>29</v>
      </c>
      <c r="F20" s="6" t="b">
        <v>1</v>
      </c>
    </row>
    <row r="21" spans="1:6" x14ac:dyDescent="0.25">
      <c r="A21" s="1" t="s">
        <v>28</v>
      </c>
      <c r="B21" s="2" t="str">
        <f>SUBSTITUTE(LOWER(C21)," ","_")&amp;IF(COUNTIF(C$3:C21,C21)=1,"","_"&amp;COUNTIF(C$3:C21,C21)-1)</f>
        <v>scrap_warrior_legs</v>
      </c>
      <c r="C21" s="2" t="s">
        <v>39</v>
      </c>
      <c r="D21" s="2" t="s">
        <v>45</v>
      </c>
      <c r="E21" s="2" t="s">
        <v>31</v>
      </c>
      <c r="F21" s="3" t="b">
        <v>0</v>
      </c>
    </row>
    <row r="22" spans="1:6" x14ac:dyDescent="0.25">
      <c r="A22" s="4" t="s">
        <v>28</v>
      </c>
      <c r="B22" s="5" t="str">
        <f>SUBSTITUTE(LOWER(C22)," ","_")&amp;IF(COUNTIF(C$3:C22,C22)=1,"","_"&amp;COUNTIF(C$3:C22,C22)-1)</f>
        <v>scrap_hunter_legs</v>
      </c>
      <c r="C22" s="5" t="s">
        <v>40</v>
      </c>
      <c r="D22" s="5" t="s">
        <v>45</v>
      </c>
      <c r="E22" s="5" t="s">
        <v>33</v>
      </c>
      <c r="F22" s="6" t="b">
        <v>0</v>
      </c>
    </row>
    <row r="23" spans="1:6" x14ac:dyDescent="0.25">
      <c r="A23" s="1" t="s">
        <v>28</v>
      </c>
      <c r="B23" s="2" t="str">
        <f>SUBSTITUTE(LOWER(C23)," ","_")&amp;IF(COUNTIF(C$3:C23,C23)=1,"","_"&amp;COUNTIF(C$3:C23,C23)-1)</f>
        <v>scrap_boxer_fists</v>
      </c>
      <c r="C23" s="2" t="s">
        <v>41</v>
      </c>
      <c r="D23" s="2" t="s">
        <v>45</v>
      </c>
      <c r="E23" s="2" t="s">
        <v>29</v>
      </c>
      <c r="F23" s="3" t="b">
        <v>1</v>
      </c>
    </row>
    <row r="24" spans="1:6" x14ac:dyDescent="0.25">
      <c r="A24" s="4" t="s">
        <v>28</v>
      </c>
      <c r="B24" s="5" t="str">
        <f>SUBSTITUTE(LOWER(C24)," ","_")&amp;IF(COUNTIF(C$3:C24,C24)=1,"","_"&amp;COUNTIF(C$3:C24,C24)-1)</f>
        <v>scrap_warrior_spear</v>
      </c>
      <c r="C24" s="5" t="s">
        <v>42</v>
      </c>
      <c r="D24" s="5" t="s">
        <v>45</v>
      </c>
      <c r="E24" s="5" t="s">
        <v>31</v>
      </c>
      <c r="F24" s="6" t="b">
        <v>0</v>
      </c>
    </row>
    <row r="25" spans="1:6" x14ac:dyDescent="0.25">
      <c r="A25" s="1" t="s">
        <v>28</v>
      </c>
      <c r="B25" s="2" t="str">
        <f>SUBSTITUTE(LOWER(C25)," ","_")&amp;IF(COUNTIF(C$3:C25,C25)=1,"","_"&amp;COUNTIF(C$3:C25,C25)-1)</f>
        <v>scrap_hunter_rifle</v>
      </c>
      <c r="C25" s="2" t="s">
        <v>43</v>
      </c>
      <c r="D25" s="2" t="s">
        <v>45</v>
      </c>
      <c r="E25" s="2" t="s">
        <v>33</v>
      </c>
      <c r="F25" s="3" t="b">
        <v>0</v>
      </c>
    </row>
    <row r="26" spans="1:6" x14ac:dyDescent="0.25">
      <c r="A26" s="4" t="s">
        <v>46</v>
      </c>
      <c r="B26" s="5" t="str">
        <f>SUBSTITUTE(LOWER(C26)," ","_")&amp;IF(COUNTIF(C$3:C26,C26)=1,"","_"&amp;COUNTIF(C$3:C26,C26)-1)</f>
        <v>1000_scrap</v>
      </c>
      <c r="C26" s="5" t="s">
        <v>47</v>
      </c>
      <c r="D26" s="5" t="s">
        <v>45</v>
      </c>
      <c r="E26" s="5" t="s">
        <v>29</v>
      </c>
      <c r="F26" s="6" t="b">
        <v>0</v>
      </c>
    </row>
    <row r="27" spans="1:6" x14ac:dyDescent="0.25">
      <c r="A27" s="1" t="s">
        <v>46</v>
      </c>
      <c r="B27" s="2" t="str">
        <f>SUBSTITUTE(LOWER(C27)," ","_")&amp;IF(COUNTIF(C$3:C27,C27)=1,"","_"&amp;COUNTIF(C$3:C27,C27)-1)</f>
        <v>1000_scrap_1</v>
      </c>
      <c r="C27" s="2" t="s">
        <v>47</v>
      </c>
      <c r="D27" s="2" t="s">
        <v>45</v>
      </c>
      <c r="E27" s="2" t="s">
        <v>31</v>
      </c>
      <c r="F27" s="3" t="b">
        <v>0</v>
      </c>
    </row>
    <row r="28" spans="1:6" x14ac:dyDescent="0.25">
      <c r="A28" s="4" t="s">
        <v>46</v>
      </c>
      <c r="B28" s="5" t="str">
        <f>SUBSTITUTE(LOWER(C28)," ","_")&amp;IF(COUNTIF(C$3:C28,C28)=1,"","_"&amp;COUNTIF(C$3:C28,C28)-1)</f>
        <v>1000_scrap_2</v>
      </c>
      <c r="C28" s="5" t="s">
        <v>47</v>
      </c>
      <c r="D28" s="5" t="s">
        <v>45</v>
      </c>
      <c r="E28" s="5" t="s">
        <v>33</v>
      </c>
      <c r="F28" s="6" t="b">
        <v>0</v>
      </c>
    </row>
    <row r="29" spans="1:6" x14ac:dyDescent="0.25">
      <c r="A29" s="1" t="s">
        <v>46</v>
      </c>
      <c r="B29" s="2" t="str">
        <f>SUBSTITUTE(LOWER(C29)," ","_")&amp;IF(COUNTIF(C$3:C29,C29)=1,"","_"&amp;COUNTIF(C$3:C29,C29)-1)</f>
        <v>extra_time</v>
      </c>
      <c r="C29" s="2" t="s">
        <v>48</v>
      </c>
      <c r="D29" s="2" t="s">
        <v>45</v>
      </c>
      <c r="E29" s="2" t="s">
        <v>49</v>
      </c>
      <c r="F29" s="3" t="b">
        <v>0</v>
      </c>
    </row>
    <row r="30" spans="1:6" x14ac:dyDescent="0.25">
      <c r="A30" s="4" t="s">
        <v>46</v>
      </c>
      <c r="B30" s="5" t="str">
        <f>SUBSTITUTE(LOWER(C30)," ","_")&amp;IF(COUNTIF(C$3:C30,C30)=1,"","_"&amp;COUNTIF(C$3:C30,C30)-1)</f>
        <v>extra_time_1</v>
      </c>
      <c r="C30" s="5" t="s">
        <v>48</v>
      </c>
      <c r="D30" s="5" t="s">
        <v>45</v>
      </c>
      <c r="E30" s="5" t="s">
        <v>50</v>
      </c>
      <c r="F30" s="6" t="b">
        <v>0</v>
      </c>
    </row>
    <row r="31" spans="1:6" x14ac:dyDescent="0.25">
      <c r="A31" s="1" t="s">
        <v>46</v>
      </c>
      <c r="B31" s="2" t="str">
        <f>SUBSTITUTE(LOWER(C31)," ","_")&amp;IF(COUNTIF(C$3:C31,C31)=1,"","_"&amp;COUNTIF(C$3:C31,C31)-1)</f>
        <v>extra_time_2</v>
      </c>
      <c r="C31" s="2" t="s">
        <v>48</v>
      </c>
      <c r="D31" s="2" t="s">
        <v>45</v>
      </c>
      <c r="E31" s="2" t="s">
        <v>51</v>
      </c>
      <c r="F31" s="3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1145A3-8494-4A2F-92E1-EEE91FEF35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 Tree 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Dillon</dc:creator>
  <cp:lastModifiedBy>Andrew Dillon</cp:lastModifiedBy>
  <dcterms:created xsi:type="dcterms:W3CDTF">2026-06-22T05:11:14Z</dcterms:created>
  <dcterms:modified xsi:type="dcterms:W3CDTF">2026-06-22T10:28:45Z</dcterms:modified>
</cp:coreProperties>
</file>